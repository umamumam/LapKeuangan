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ksi 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8">
    <font>
      <name val="Calibri"/>
      <family val="2"/>
      <color theme="1"/>
      <sz val="11"/>
      <scheme val="minor"/>
    </font>
    <font>
      <name val="Segoe UI"/>
      <b val="1"/>
      <color rgb="001A237E"/>
      <sz val="15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i val="1"/>
    </font>
    <font>
      <name val="Segoe UI"/>
      <b val="1"/>
      <color rgb="00C62828"/>
    </font>
    <font>
      <name val="Segoe UI"/>
      <b val="1"/>
    </font>
    <font>
      <name val="Segoe UI"/>
      <b val="1"/>
      <color rgb="001565C0"/>
    </font>
  </fonts>
  <fills count="4">
    <fill>
      <patternFill/>
    </fill>
    <fill>
      <patternFill patternType="gray125"/>
    </fill>
    <fill>
      <patternFill patternType="solid">
        <fgColor rgb="00E65100"/>
        <b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4" fillId="3" borderId="1" pivotButton="0" quotePrefix="0" xfId="0"/>
    <xf numFmtId="164" fontId="5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6" fillId="0" borderId="1" pivotButton="0" quotePrefix="0" xfId="0"/>
    <xf numFmtId="164" fontId="7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40" customWidth="1" min="4" max="4"/>
    <col width="16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LAPORAN TRANSAKSI SUPPLIER (BOS SOHEH)</t>
        </is>
      </c>
    </row>
    <row r="2">
      <c r="A2" s="2" t="inlineStr">
        <is>
          <t>Format Otomatis Lusin &amp; Potong, Total Jumlah, dan Sisa Tagihan</t>
        </is>
      </c>
    </row>
    <row r="4" ht="28" customHeight="1">
      <c r="A4" s="3" t="inlineStr">
        <is>
          <t>Tanggal</t>
        </is>
      </c>
      <c r="B4" s="3" t="inlineStr">
        <is>
          <t>Lsn</t>
        </is>
      </c>
      <c r="C4" s="3" t="inlineStr">
        <is>
          <t>Ptg</t>
        </is>
      </c>
      <c r="D4" s="3" t="inlineStr">
        <is>
          <t>Nama Barang</t>
        </is>
      </c>
      <c r="E4" s="3" t="inlineStr">
        <is>
          <t>@Harga (Lsn)</t>
        </is>
      </c>
      <c r="F4" s="3" t="inlineStr">
        <is>
          <t>Jumlah</t>
        </is>
      </c>
      <c r="G4" s="3" t="inlineStr">
        <is>
          <t>TF (Bayar)</t>
        </is>
      </c>
      <c r="H4" s="3" t="inlineStr">
        <is>
          <t>Tagihan</t>
        </is>
      </c>
    </row>
    <row r="5">
      <c r="A5" s="4" t="inlineStr">
        <is>
          <t>-</t>
        </is>
      </c>
      <c r="B5" s="5" t="n"/>
      <c r="C5" s="5" t="n"/>
      <c r="D5" s="6" t="inlineStr">
        <is>
          <t>SISA NOTA SEBELUMNYA (SALDO AWAL)</t>
        </is>
      </c>
      <c r="E5" s="5" t="n"/>
      <c r="F5" s="5" t="n"/>
      <c r="G5" s="5" t="n"/>
      <c r="H5" s="7" t="n">
        <v>0</v>
      </c>
    </row>
    <row r="6">
      <c r="A6" s="8" t="inlineStr">
        <is>
          <t>01/04/2026</t>
        </is>
      </c>
      <c r="B6" s="8" t="n">
        <v>38</v>
      </c>
      <c r="C6" s="8" t="n">
        <v>0</v>
      </c>
      <c r="D6" s="9" t="inlineStr">
        <is>
          <t>KS 27/30 (brown/green)</t>
        </is>
      </c>
      <c r="E6" s="10" t="n">
        <v>760000</v>
      </c>
      <c r="F6" s="11">
        <f>(B6*E6)+(C6*(E6/12))</f>
        <v/>
      </c>
      <c r="G6" s="10" t="n">
        <v>0</v>
      </c>
      <c r="H6" s="12">
        <f>H5+F6-G6</f>
        <v/>
      </c>
    </row>
    <row r="7">
      <c r="A7" s="8" t="inlineStr">
        <is>
          <t>01/04/2026</t>
        </is>
      </c>
      <c r="B7" s="8" t="n">
        <v>17</v>
      </c>
      <c r="C7" s="8" t="n">
        <v>0</v>
      </c>
      <c r="D7" s="9" t="inlineStr">
        <is>
          <t>KS 35/38 SNOW WSK</t>
        </is>
      </c>
      <c r="E7" s="10" t="n">
        <v>830000</v>
      </c>
      <c r="F7" s="11">
        <f>(B7*E7)+(C7*(E7/12))</f>
        <v/>
      </c>
      <c r="G7" s="13" t="n">
        <v>20000000</v>
      </c>
      <c r="H7" s="12">
        <f>H6+F7-G7</f>
        <v/>
      </c>
    </row>
    <row r="8">
      <c r="A8" s="8" t="inlineStr">
        <is>
          <t>02/04/2026</t>
        </is>
      </c>
      <c r="B8" s="8" t="n">
        <v>2</v>
      </c>
      <c r="C8" s="8" t="n">
        <v>6</v>
      </c>
      <c r="D8" s="9" t="inlineStr">
        <is>
          <t>Kaos Polos Cotton (Contoh Mix Lsn &amp; Ptg)</t>
        </is>
      </c>
      <c r="E8" s="10" t="n">
        <v>600000</v>
      </c>
      <c r="F8" s="11">
        <f>(B8*E8)+(C8*(E8/12))</f>
        <v/>
      </c>
      <c r="G8" s="10" t="n">
        <v>0</v>
      </c>
      <c r="H8" s="12">
        <f>H7+F8-G8</f>
        <v/>
      </c>
    </row>
    <row r="9">
      <c r="A9" s="8" t="inlineStr">
        <is>
          <t>03/04/2026</t>
        </is>
      </c>
      <c r="B9" s="8" t="n">
        <v>0</v>
      </c>
      <c r="C9" s="8" t="n">
        <v>18</v>
      </c>
      <c r="D9" s="9" t="inlineStr">
        <is>
          <t>Celana Pendek (Contoh Hanya Ptg / 1.5 Lsn)</t>
        </is>
      </c>
      <c r="E9" s="10" t="n">
        <v>480000</v>
      </c>
      <c r="F9" s="11">
        <f>(B9*E9)+(C9*(E9/12))</f>
        <v/>
      </c>
      <c r="G9" s="13" t="n">
        <v>500000</v>
      </c>
      <c r="H9" s="12">
        <f>H8+F9-G9</f>
        <v/>
      </c>
    </row>
    <row r="10">
      <c r="A10" s="8" t="n"/>
      <c r="B10" s="8" t="n"/>
      <c r="C10" s="8" t="n"/>
      <c r="D10" s="9" t="n"/>
      <c r="E10" s="10" t="n"/>
      <c r="F10" s="10">
        <f>IF(OR(B10&lt;&gt;"",C10&lt;&gt;""), (N(B10)*E10)+(N(C10)*(E10/12)), 0)</f>
        <v/>
      </c>
      <c r="G10" s="10" t="n"/>
      <c r="H10" s="10">
        <f>IF(AND(B10="",C10="",G10=""), "", H9+F10-N(G10))</f>
        <v/>
      </c>
    </row>
    <row r="11">
      <c r="A11" s="8" t="n"/>
      <c r="B11" s="8" t="n"/>
      <c r="C11" s="8" t="n"/>
      <c r="D11" s="9" t="n"/>
      <c r="E11" s="10" t="n"/>
      <c r="F11" s="10">
        <f>IF(OR(B11&lt;&gt;"",C11&lt;&gt;""), (N(B11)*E11)+(N(C11)*(E11/12)), 0)</f>
        <v/>
      </c>
      <c r="G11" s="10" t="n"/>
      <c r="H11" s="10">
        <f>IF(AND(B11="",C11="",G11=""), "", H10+F11-N(G11))</f>
        <v/>
      </c>
    </row>
    <row r="12">
      <c r="A12" s="8" t="n"/>
      <c r="B12" s="8" t="n"/>
      <c r="C12" s="8" t="n"/>
      <c r="D12" s="9" t="n"/>
      <c r="E12" s="10" t="n"/>
      <c r="F12" s="10">
        <f>IF(OR(B12&lt;&gt;"",C12&lt;&gt;""), (N(B12)*E12)+(N(C12)*(E12/12)), 0)</f>
        <v/>
      </c>
      <c r="G12" s="10" t="n"/>
      <c r="H12" s="10">
        <f>IF(AND(B12="",C12="",G12=""), "", H11+F12-N(G12))</f>
        <v/>
      </c>
    </row>
    <row r="13">
      <c r="A13" s="8" t="n"/>
      <c r="B13" s="8" t="n"/>
      <c r="C13" s="8" t="n"/>
      <c r="D13" s="9" t="n"/>
      <c r="E13" s="10" t="n"/>
      <c r="F13" s="10">
        <f>IF(OR(B13&lt;&gt;"",C13&lt;&gt;""), (N(B13)*E13)+(N(C13)*(E13/12)), 0)</f>
        <v/>
      </c>
      <c r="G13" s="10" t="n"/>
      <c r="H13" s="10">
        <f>IF(AND(B13="",C13="",G13=""), "", H12+F13-N(G13))</f>
        <v/>
      </c>
    </row>
    <row r="14">
      <c r="A14" s="8" t="n"/>
      <c r="B14" s="8" t="n"/>
      <c r="C14" s="8" t="n"/>
      <c r="D14" s="9" t="n"/>
      <c r="E14" s="10" t="n"/>
      <c r="F14" s="10">
        <f>IF(OR(B14&lt;&gt;"",C14&lt;&gt;""), (N(B14)*E14)+(N(C14)*(E14/12)), 0)</f>
        <v/>
      </c>
      <c r="G14" s="10" t="n"/>
      <c r="H14" s="10">
        <f>IF(AND(B14="",C14="",G14=""), "", H13+F14-N(G14))</f>
        <v/>
      </c>
    </row>
    <row r="15">
      <c r="A15" s="8" t="n"/>
      <c r="B15" s="8" t="n"/>
      <c r="C15" s="8" t="n"/>
      <c r="D15" s="9" t="n"/>
      <c r="E15" s="10" t="n"/>
      <c r="F15" s="10">
        <f>IF(OR(B15&lt;&gt;"",C15&lt;&gt;""), (N(B15)*E15)+(N(C15)*(E15/12)), 0)</f>
        <v/>
      </c>
      <c r="G15" s="10" t="n"/>
      <c r="H15" s="10">
        <f>IF(AND(B15="",C15="",G15=""), "", H14+F15-N(G15))</f>
        <v/>
      </c>
    </row>
    <row r="16">
      <c r="A16" s="8" t="n"/>
      <c r="B16" s="8" t="n"/>
      <c r="C16" s="8" t="n"/>
      <c r="D16" s="9" t="n"/>
      <c r="E16" s="10" t="n"/>
      <c r="F16" s="10">
        <f>IF(OR(B16&lt;&gt;"",C16&lt;&gt;""), (N(B16)*E16)+(N(C16)*(E16/12)), 0)</f>
        <v/>
      </c>
      <c r="G16" s="10" t="n"/>
      <c r="H16" s="10">
        <f>IF(AND(B16="",C16="",G16=""), "", H15+F16-N(G16))</f>
        <v/>
      </c>
    </row>
    <row r="17">
      <c r="A17" s="8" t="n"/>
      <c r="B17" s="8" t="n"/>
      <c r="C17" s="8" t="n"/>
      <c r="D17" s="9" t="n"/>
      <c r="E17" s="10" t="n"/>
      <c r="F17" s="10">
        <f>IF(OR(B17&lt;&gt;"",C17&lt;&gt;""), (N(B17)*E17)+(N(C17)*(E17/12)), 0)</f>
        <v/>
      </c>
      <c r="G17" s="10" t="n"/>
      <c r="H17" s="10">
        <f>IF(AND(B17="",C17="",G17=""), "", H16+F17-N(G17))</f>
        <v/>
      </c>
    </row>
    <row r="18">
      <c r="A18" s="8" t="n"/>
      <c r="B18" s="8" t="n"/>
      <c r="C18" s="8" t="n"/>
      <c r="D18" s="9" t="n"/>
      <c r="E18" s="10" t="n"/>
      <c r="F18" s="10">
        <f>IF(OR(B18&lt;&gt;"",C18&lt;&gt;""), (N(B18)*E18)+(N(C18)*(E18/12)), 0)</f>
        <v/>
      </c>
      <c r="G18" s="10" t="n"/>
      <c r="H18" s="10">
        <f>IF(AND(B18="",C18="",G18=""), "", H17+F18-N(G18))</f>
        <v/>
      </c>
    </row>
    <row r="19">
      <c r="A19" s="8" t="n"/>
      <c r="B19" s="8" t="n"/>
      <c r="C19" s="8" t="n"/>
      <c r="D19" s="9" t="n"/>
      <c r="E19" s="10" t="n"/>
      <c r="F19" s="10">
        <f>IF(OR(B19&lt;&gt;"",C19&lt;&gt;""), (N(B19)*E19)+(N(C19)*(E19/12)), 0)</f>
        <v/>
      </c>
      <c r="G19" s="10" t="n"/>
      <c r="H19" s="10">
        <f>IF(AND(B19="",C19="",G19=""), "", H18+F19-N(G19))</f>
        <v/>
      </c>
    </row>
    <row r="20">
      <c r="A20" s="8" t="n"/>
      <c r="B20" s="8" t="n"/>
      <c r="C20" s="8" t="n"/>
      <c r="D20" s="9" t="n"/>
      <c r="E20" s="10" t="n"/>
      <c r="F20" s="10">
        <f>IF(OR(B20&lt;&gt;"",C20&lt;&gt;""), (N(B20)*E20)+(N(C20)*(E20/12)), 0)</f>
        <v/>
      </c>
      <c r="G20" s="10" t="n"/>
      <c r="H20" s="10">
        <f>IF(AND(B20="",C20="",G20=""), "", H19+F20-N(G20))</f>
        <v/>
      </c>
    </row>
    <row r="21">
      <c r="A21" s="8" t="n"/>
      <c r="B21" s="8" t="n"/>
      <c r="C21" s="8" t="n"/>
      <c r="D21" s="9" t="n"/>
      <c r="E21" s="10" t="n"/>
      <c r="F21" s="10">
        <f>IF(OR(B21&lt;&gt;"",C21&lt;&gt;""), (N(B21)*E21)+(N(C21)*(E21/12)), 0)</f>
        <v/>
      </c>
      <c r="G21" s="10" t="n"/>
      <c r="H21" s="10">
        <f>IF(AND(B21="",C21="",G21=""), "", H20+F21-N(G21))</f>
        <v/>
      </c>
    </row>
    <row r="22">
      <c r="A22" s="8" t="n"/>
      <c r="B22" s="8" t="n"/>
      <c r="C22" s="8" t="n"/>
      <c r="D22" s="9" t="n"/>
      <c r="E22" s="10" t="n"/>
      <c r="F22" s="10">
        <f>IF(OR(B22&lt;&gt;"",C22&lt;&gt;""), (N(B22)*E22)+(N(C22)*(E22/12)), 0)</f>
        <v/>
      </c>
      <c r="G22" s="10" t="n"/>
      <c r="H22" s="10">
        <f>IF(AND(B22="",C22="",G22=""), "", H21+F22-N(G22))</f>
        <v/>
      </c>
    </row>
    <row r="23">
      <c r="A23" s="8" t="n"/>
      <c r="B23" s="8" t="n"/>
      <c r="C23" s="8" t="n"/>
      <c r="D23" s="9" t="n"/>
      <c r="E23" s="10" t="n"/>
      <c r="F23" s="10">
        <f>IF(OR(B23&lt;&gt;"",C23&lt;&gt;""), (N(B23)*E23)+(N(C23)*(E23/12)), 0)</f>
        <v/>
      </c>
      <c r="G23" s="10" t="n"/>
      <c r="H23" s="10">
        <f>IF(AND(B23="",C23="",G23=""), "", H22+F23-N(G23))</f>
        <v/>
      </c>
    </row>
    <row r="24">
      <c r="A24" s="8" t="n"/>
      <c r="B24" s="8" t="n"/>
      <c r="C24" s="8" t="n"/>
      <c r="D24" s="9" t="n"/>
      <c r="E24" s="10" t="n"/>
      <c r="F24" s="10">
        <f>IF(OR(B24&lt;&gt;"",C24&lt;&gt;""), (N(B24)*E24)+(N(C24)*(E24/12)), 0)</f>
        <v/>
      </c>
      <c r="G24" s="10" t="n"/>
      <c r="H24" s="10">
        <f>IF(AND(B24="",C24="",G24=""), "", H23+F24-N(G24))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2026-07-27T06:57:34Z</dcterms:created>
  <dcterms:modified xsi:type="dcterms:W3CDTF">2026-07-27T06:57:34Z</dcterms:modified>
</cp:coreProperties>
</file>